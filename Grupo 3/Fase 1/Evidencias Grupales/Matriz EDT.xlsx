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EDT" sheetId="1" state="visible" r:id="rId1"/>
    <sheet xmlns:r="http://schemas.openxmlformats.org/officeDocument/2006/relationships" name="Costos Fases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 &quot;$&quot;* #,##0_ ;_ &quot;$&quot;* \-#,##0_ ;_ &quot;$&quot;* &quot;-&quot;_ ;_ @_ 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164" fontId="0" fillId="0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wrapText="1"/>
    </xf>
    <xf numFmtId="164" fontId="2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 indent="3"/>
    </xf>
    <xf numFmtId="9" fontId="0" fillId="0" borderId="1" pivotButton="0" quotePrefix="0" xfId="0"/>
    <xf numFmtId="0" fontId="3" fillId="5" borderId="7" pivotButton="0" quotePrefix="0" xfId="0"/>
    <xf numFmtId="0" fontId="3" fillId="5" borderId="8" pivotButton="0" quotePrefix="0" xfId="0"/>
    <xf numFmtId="0" fontId="3" fillId="5" borderId="7" applyAlignment="1" pivotButton="0" quotePrefix="0" xfId="0">
      <alignment horizontal="left"/>
    </xf>
    <xf numFmtId="1" fontId="0" fillId="0" borderId="1" pivotButton="0" quotePrefix="0" xfId="0"/>
    <xf numFmtId="1" fontId="0" fillId="0" borderId="1" applyAlignment="1" pivotButton="0" quotePrefix="0" xfId="0">
      <alignment horizontal="center"/>
    </xf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3" borderId="0" applyAlignment="1" pivotButton="0" quotePrefix="0" xfId="0">
      <alignment horizontal="center"/>
    </xf>
    <xf numFmtId="0" fontId="0" fillId="0" borderId="0" pivotButton="0" quotePrefix="0" xfId="0"/>
    <xf numFmtId="0" fontId="0" fillId="2" borderId="5" applyAlignment="1" pivotButton="0" quotePrefix="0" xfId="0">
      <alignment horizontal="center"/>
    </xf>
    <xf numFmtId="0" fontId="0" fillId="0" borderId="6" pivotButton="0" quotePrefix="0" xfId="0"/>
    <xf numFmtId="0" fontId="0" fillId="0" borderId="9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164" fontId="2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8"/>
  <sheetViews>
    <sheetView topLeftCell="A3" zoomScale="90" zoomScaleNormal="90" workbookViewId="0">
      <selection activeCell="I8" sqref="I8"/>
    </sheetView>
  </sheetViews>
  <sheetFormatPr baseColWidth="10" defaultRowHeight="15" outlineLevelRow="1"/>
  <cols>
    <col width="49.42578125" customWidth="1" style="24" min="1" max="1"/>
    <col width="7.42578125" customWidth="1" style="24" min="2" max="2"/>
    <col width="10.7109375" customWidth="1" style="24" min="3" max="3"/>
    <col width="12.85546875" customWidth="1" style="24" min="4" max="4"/>
    <col width="9.140625" customWidth="1" style="24" min="5" max="5"/>
    <col width="8.140625" customWidth="1" style="24" min="6" max="6"/>
    <col width="12" customWidth="1" style="24" min="7" max="7"/>
    <col width="5" customWidth="1" style="24" min="8" max="8"/>
    <col width="44.85546875" customWidth="1" style="24" min="9" max="9"/>
    <col width="29.7109375" customWidth="1" style="24" min="10" max="10"/>
  </cols>
  <sheetData>
    <row r="2" ht="18" customHeight="1" s="24">
      <c r="A2" s="23" t="inlineStr">
        <is>
          <t>Matriz Estructura de descomposición de tareas EDT</t>
        </is>
      </c>
    </row>
    <row r="4">
      <c r="A4" s="1" t="inlineStr">
        <is>
          <t>Etapas</t>
        </is>
      </c>
      <c r="B4" s="20" t="inlineStr">
        <is>
          <t>DIAS</t>
        </is>
      </c>
      <c r="C4" s="20" t="inlineStr">
        <is>
          <t>HORAS POR ACTIVIDAD O ENTREGABLE</t>
        </is>
      </c>
      <c r="D4" s="21" t="n"/>
      <c r="E4" s="21" t="n"/>
      <c r="F4" s="21" t="n"/>
      <c r="G4" s="22" t="n"/>
      <c r="I4" s="20" t="inlineStr">
        <is>
          <t>DICCIONARIO EDT</t>
        </is>
      </c>
      <c r="J4" s="22" t="n"/>
    </row>
    <row r="5" ht="28.5" customHeight="1" s="24">
      <c r="A5" s="3" t="inlineStr">
        <is>
          <t>Fase de Planificación</t>
        </is>
      </c>
      <c r="B5" s="2" t="n"/>
      <c r="C5" s="6" t="inlineStr">
        <is>
          <t>Scrum Master / Backend</t>
        </is>
      </c>
      <c r="D5" s="6" t="inlineStr">
        <is>
          <t>Full Stack Dev / Data Eng.</t>
        </is>
      </c>
      <c r="E5" s="6" t="inlineStr">
        <is>
          <t>Lead DBA / DevOps</t>
        </is>
      </c>
      <c r="F5" s="6" t="inlineStr">
        <is>
          <t>QA Lead / Dashboard</t>
        </is>
      </c>
      <c r="G5" s="6" t="inlineStr">
        <is>
          <t>Data Engineer / ML</t>
        </is>
      </c>
      <c r="I5" s="5" t="inlineStr">
        <is>
          <t>ROL ACTOR</t>
        </is>
      </c>
      <c r="J5" s="5" t="inlineStr">
        <is>
          <t>NOMBRE ACTOR</t>
        </is>
      </c>
    </row>
    <row r="6" outlineLevel="1" s="24">
      <c r="A6" s="14" t="inlineStr">
        <is>
          <t>Acta de Constitución de proyecto</t>
        </is>
      </c>
      <c r="B6" s="17" t="n">
        <v>3</v>
      </c>
      <c r="C6" s="18" t="n">
        <v>4</v>
      </c>
      <c r="D6" s="18" t="n">
        <v>3</v>
      </c>
      <c r="E6" s="18" t="n">
        <v>2</v>
      </c>
      <c r="F6" s="18" t="n">
        <v>3</v>
      </c>
      <c r="G6" s="18" t="n">
        <v>4</v>
      </c>
      <c r="I6" s="1" t="inlineStr">
        <is>
          <t>Scrum Master / Backend Developer</t>
        </is>
      </c>
      <c r="J6" s="1" t="inlineStr">
        <is>
          <t>Luis Alcaide</t>
        </is>
      </c>
    </row>
    <row r="7" outlineLevel="1" s="24">
      <c r="A7" s="14" t="inlineStr">
        <is>
          <t>Aprobación del Acta</t>
        </is>
      </c>
      <c r="B7" s="17" t="n">
        <v>3</v>
      </c>
      <c r="C7" s="18" t="n">
        <v>4</v>
      </c>
      <c r="D7" s="18" t="n">
        <v>3</v>
      </c>
      <c r="E7" s="18" t="n">
        <v>2</v>
      </c>
      <c r="F7" s="18" t="n">
        <v>3</v>
      </c>
      <c r="G7" s="18" t="n">
        <v>4</v>
      </c>
      <c r="I7" s="1" t="inlineStr">
        <is>
          <t>Full Stack Developer / Data Engineer</t>
        </is>
      </c>
      <c r="J7" s="9" t="inlineStr">
        <is>
          <t>Horacio Vergara</t>
        </is>
      </c>
    </row>
    <row r="8" outlineLevel="1" s="24">
      <c r="A8" s="14" t="inlineStr">
        <is>
          <t>Definición de requerimientos Generales</t>
        </is>
      </c>
      <c r="B8" s="17" t="n">
        <v>2</v>
      </c>
      <c r="C8" s="18" t="n">
        <v>4</v>
      </c>
      <c r="D8" s="18" t="n">
        <v>2</v>
      </c>
      <c r="E8" s="18" t="n">
        <v>2</v>
      </c>
      <c r="F8" s="18" t="n">
        <v>3</v>
      </c>
      <c r="G8" s="18" t="n">
        <v>4</v>
      </c>
      <c r="I8" s="1" t="inlineStr">
        <is>
          <t>Lead DBA / DevOps Engineer</t>
        </is>
      </c>
      <c r="J8" s="1" t="inlineStr">
        <is>
          <t>Josías González</t>
        </is>
      </c>
    </row>
    <row r="9" outlineLevel="1" s="24">
      <c r="A9" s="14" t="inlineStr">
        <is>
          <t>Organización del equipo</t>
        </is>
      </c>
      <c r="B9" s="17" t="n">
        <v>2</v>
      </c>
      <c r="C9" s="18" t="n">
        <v>3</v>
      </c>
      <c r="D9" s="18" t="n">
        <v>2</v>
      </c>
      <c r="E9" s="18" t="n">
        <v>2</v>
      </c>
      <c r="F9" s="18" t="n">
        <v>3</v>
      </c>
      <c r="G9" s="18" t="n">
        <v>3</v>
      </c>
      <c r="I9" s="1" t="inlineStr">
        <is>
          <t>Frontend Dev (Dashboard) / QA Lead</t>
        </is>
      </c>
      <c r="J9" s="1" t="inlineStr">
        <is>
          <t>Israel González</t>
        </is>
      </c>
    </row>
    <row r="10" outlineLevel="1" s="24">
      <c r="A10" s="1" t="n"/>
      <c r="B10" s="1" t="n"/>
      <c r="C10" s="20" t="n"/>
      <c r="D10" s="20" t="n"/>
      <c r="E10" s="20" t="n"/>
      <c r="F10" s="20" t="n"/>
      <c r="G10" s="20" t="n"/>
      <c r="I10" s="1" t="inlineStr">
        <is>
          <t>Data Engineer / ML Developer</t>
        </is>
      </c>
      <c r="J10" s="1" t="inlineStr">
        <is>
          <t>Bastián Quilodrán</t>
        </is>
      </c>
    </row>
    <row r="11" ht="28.5" customHeight="1" s="24">
      <c r="A11" s="2" t="inlineStr">
        <is>
          <t>Fase de Análisis y diseño</t>
        </is>
      </c>
      <c r="B11" s="2" t="n"/>
      <c r="C11" s="6" t="inlineStr">
        <is>
          <t>Scrum Master / Backend</t>
        </is>
      </c>
      <c r="D11" s="6" t="inlineStr">
        <is>
          <t>Full Stack Dev / Data Eng.</t>
        </is>
      </c>
      <c r="E11" s="6" t="inlineStr">
        <is>
          <t>Lead DBA / DevOps</t>
        </is>
      </c>
      <c r="F11" s="6" t="inlineStr">
        <is>
          <t>QA Lead / Dashboard</t>
        </is>
      </c>
      <c r="G11" s="6" t="inlineStr">
        <is>
          <t>Data Engineer / ML</t>
        </is>
      </c>
    </row>
    <row r="12" outlineLevel="1" s="24">
      <c r="A12" s="14" t="inlineStr">
        <is>
          <t>Captura de requerimientos específicos (R.1-R.20)</t>
        </is>
      </c>
      <c r="B12" s="17" t="n">
        <v>3</v>
      </c>
      <c r="C12" s="18" t="n">
        <v>3</v>
      </c>
      <c r="D12" s="18" t="n">
        <v>4</v>
      </c>
      <c r="E12" s="18" t="n">
        <v>4</v>
      </c>
      <c r="F12" s="18" t="n">
        <v>2</v>
      </c>
      <c r="G12" s="18" t="n">
        <v>3</v>
      </c>
    </row>
    <row r="13" outlineLevel="1" s="24">
      <c r="A13" s="15" t="inlineStr">
        <is>
          <t>Documento de arquitectura SW (Capas React/Node/Python/PostgreSQL)</t>
        </is>
      </c>
      <c r="B13" s="17" t="n">
        <v>3</v>
      </c>
      <c r="C13" s="18" t="n">
        <v>3</v>
      </c>
      <c r="D13" s="18" t="n">
        <v>4</v>
      </c>
      <c r="E13" s="18" t="n">
        <v>4</v>
      </c>
      <c r="F13" s="18" t="n">
        <v>2</v>
      </c>
      <c r="G13" s="18" t="n">
        <v>3</v>
      </c>
    </row>
    <row r="14" outlineLevel="1" s="24">
      <c r="A14" s="14" t="inlineStr">
        <is>
          <t>Documento de casos de uso CU01-CU14 (UML 2.5)</t>
        </is>
      </c>
      <c r="B14" s="17" t="n">
        <v>3</v>
      </c>
      <c r="C14" s="18" t="n">
        <v>3</v>
      </c>
      <c r="D14" s="18" t="n">
        <v>4</v>
      </c>
      <c r="E14" s="18" t="n">
        <v>4</v>
      </c>
      <c r="F14" s="18" t="n">
        <v>2</v>
      </c>
      <c r="G14" s="18" t="n">
        <v>3</v>
      </c>
    </row>
    <row r="15" outlineLevel="1" s="24">
      <c r="A15" s="14" t="inlineStr">
        <is>
          <t>Prototipos / Mockups 8 módulos (Figma)</t>
        </is>
      </c>
      <c r="B15" s="17" t="n">
        <v>3</v>
      </c>
      <c r="C15" s="18" t="n">
        <v>3</v>
      </c>
      <c r="D15" s="18" t="n">
        <v>4</v>
      </c>
      <c r="E15" s="18" t="n">
        <v>4</v>
      </c>
      <c r="F15" s="18" t="n">
        <v>2</v>
      </c>
      <c r="G15" s="18" t="n">
        <v>3</v>
      </c>
    </row>
    <row r="16" outlineLevel="1" s="24">
      <c r="A16" s="14" t="inlineStr">
        <is>
          <t>Propuesta ERS</t>
        </is>
      </c>
      <c r="B16" s="17" t="n">
        <v>2</v>
      </c>
      <c r="C16" s="18" t="n">
        <v>3</v>
      </c>
      <c r="D16" s="18" t="n">
        <v>4</v>
      </c>
      <c r="E16" s="18" t="n">
        <v>4</v>
      </c>
      <c r="F16" s="18" t="n">
        <v>2</v>
      </c>
      <c r="G16" s="18" t="n">
        <v>3</v>
      </c>
    </row>
    <row r="17" outlineLevel="1" s="24">
      <c r="A17" s="1" t="n"/>
      <c r="B17" s="1" t="n"/>
      <c r="C17" s="20" t="n"/>
      <c r="D17" s="20" t="n"/>
      <c r="E17" s="20" t="n"/>
      <c r="F17" s="20" t="n"/>
      <c r="G17" s="20" t="n"/>
    </row>
    <row r="18" ht="28.5" customHeight="1" s="24">
      <c r="A18" s="2" t="inlineStr">
        <is>
          <t>Fase de Desarrollo</t>
        </is>
      </c>
      <c r="B18" s="2" t="n"/>
      <c r="C18" s="6" t="inlineStr">
        <is>
          <t>Scrum Master / Backend</t>
        </is>
      </c>
      <c r="D18" s="6" t="inlineStr">
        <is>
          <t>Full Stack Dev / Data Eng.</t>
        </is>
      </c>
      <c r="E18" s="6" t="inlineStr">
        <is>
          <t>Lead DBA / DevOps</t>
        </is>
      </c>
      <c r="F18" s="6" t="inlineStr">
        <is>
          <t>QA Lead / Dashboard</t>
        </is>
      </c>
      <c r="G18" s="6" t="inlineStr">
        <is>
          <t>Data Engineer / ML</t>
        </is>
      </c>
    </row>
    <row r="19" outlineLevel="1" ht="18" customHeight="1" s="24">
      <c r="A19" s="14" t="inlineStr">
        <is>
          <t>Implementación ambiente de desarrollo</t>
        </is>
      </c>
      <c r="B19" s="17" t="n">
        <v>3</v>
      </c>
      <c r="C19" s="18" t="n">
        <v>2</v>
      </c>
      <c r="D19" s="18" t="n">
        <v>3</v>
      </c>
      <c r="E19" s="18" t="n">
        <v>3</v>
      </c>
      <c r="F19" s="18" t="n">
        <v>2</v>
      </c>
      <c r="G19" s="18" t="n">
        <v>2</v>
      </c>
    </row>
    <row r="20" outlineLevel="1" ht="18" customHeight="1" s="24">
      <c r="A20" s="14" t="inlineStr">
        <is>
          <t>Creación de los scripts de tablas Base de Datos (PostgreSQL/Supabase)</t>
        </is>
      </c>
      <c r="B20" s="17" t="n">
        <v>3</v>
      </c>
      <c r="C20" s="18" t="n">
        <v>2</v>
      </c>
      <c r="D20" s="18" t="n">
        <v>3</v>
      </c>
      <c r="E20" s="18" t="n">
        <v>3</v>
      </c>
      <c r="F20" s="18" t="n">
        <v>2</v>
      </c>
      <c r="G20" s="18" t="n">
        <v>2</v>
      </c>
    </row>
    <row r="21" outlineLevel="1" ht="18" customHeight="1" s="24">
      <c r="A21" s="14" t="inlineStr">
        <is>
          <t>Creación de los scripts de consultas PL/SQL y Triggers Stock</t>
        </is>
      </c>
      <c r="B21" s="17" t="n">
        <v>3</v>
      </c>
      <c r="C21" s="18" t="n">
        <v>2</v>
      </c>
      <c r="D21" s="18" t="n">
        <v>3</v>
      </c>
      <c r="E21" s="18" t="n">
        <v>3</v>
      </c>
      <c r="F21" s="18" t="n">
        <v>2</v>
      </c>
      <c r="G21" s="18" t="n">
        <v>2</v>
      </c>
    </row>
    <row r="22" outlineLevel="1" ht="18" customHeight="1" s="24">
      <c r="A22" s="11" t="inlineStr">
        <is>
          <t>Módulo E-Commerce: Catálogo y Filtro por Talla (CU09 / R.2-R.3)</t>
        </is>
      </c>
      <c r="B22" s="17" t="n">
        <v>3</v>
      </c>
      <c r="C22" s="18" t="n">
        <v>2</v>
      </c>
      <c r="D22" s="18" t="n">
        <v>3</v>
      </c>
      <c r="E22" s="18" t="n">
        <v>3</v>
      </c>
      <c r="F22" s="18" t="n">
        <v>2</v>
      </c>
      <c r="G22" s="18" t="n">
        <v>2</v>
      </c>
    </row>
    <row r="23" outlineLevel="1" ht="18" customHeight="1" s="24">
      <c r="A23" s="12" t="inlineStr">
        <is>
          <t>Módulo Carrito y Checkout Transaccional (CU10 / R.4-R.6)</t>
        </is>
      </c>
      <c r="B23" s="17" t="n">
        <v>3</v>
      </c>
      <c r="C23" s="18" t="n">
        <v>2</v>
      </c>
      <c r="D23" s="18" t="n">
        <v>3</v>
      </c>
      <c r="E23" s="18" t="n">
        <v>3</v>
      </c>
      <c r="F23" s="18" t="n">
        <v>2</v>
      </c>
      <c r="G23" s="18" t="n">
        <v>2</v>
      </c>
    </row>
    <row r="24" outlineLevel="1" ht="18" customHeight="1" s="24">
      <c r="A24" s="12" t="inlineStr">
        <is>
          <t>Módulo Autenticación y Gestión Usuarios (CU01 / R.1)</t>
        </is>
      </c>
      <c r="B24" s="17" t="n">
        <v>3</v>
      </c>
      <c r="C24" s="18" t="n">
        <v>2</v>
      </c>
      <c r="D24" s="18" t="n">
        <v>3</v>
      </c>
      <c r="E24" s="18" t="n">
        <v>3</v>
      </c>
      <c r="F24" s="18" t="n">
        <v>2</v>
      </c>
      <c r="G24" s="18" t="n">
        <v>2</v>
      </c>
    </row>
    <row r="25" outlineLevel="1" ht="18" customHeight="1" s="24">
      <c r="A25" s="11" t="inlineStr">
        <is>
          <t>Módulo Tallas e Inventario y Triggers Stock (CU03 / R.6)</t>
        </is>
      </c>
      <c r="B25" s="17" t="n">
        <v>2</v>
      </c>
      <c r="C25" s="18" t="n">
        <v>2</v>
      </c>
      <c r="D25" s="18" t="n">
        <v>3</v>
      </c>
      <c r="E25" s="18" t="n">
        <v>2</v>
      </c>
      <c r="F25" s="18" t="n">
        <v>2</v>
      </c>
      <c r="G25" s="18" t="n">
        <v>2</v>
      </c>
    </row>
    <row r="26" outlineLevel="1" ht="18" customHeight="1" s="24">
      <c r="A26" s="12" t="inlineStr">
        <is>
          <t>Submódulo Marcas y Proveedores (CU04)</t>
        </is>
      </c>
      <c r="B26" s="17" t="n">
        <v>2</v>
      </c>
      <c r="C26" s="18" t="n">
        <v>2</v>
      </c>
      <c r="D26" s="18" t="n">
        <v>3</v>
      </c>
      <c r="E26" s="18" t="n">
        <v>2</v>
      </c>
      <c r="F26" s="18" t="n">
        <v>2</v>
      </c>
      <c r="G26" s="18" t="n">
        <v>2</v>
      </c>
    </row>
    <row r="27" outlineLevel="1" ht="18" customHeight="1" s="24">
      <c r="A27" s="12" t="inlineStr">
        <is>
          <t>Submódulo Categorías de Calzado (CU05)</t>
        </is>
      </c>
      <c r="B27" s="17" t="n">
        <v>2</v>
      </c>
      <c r="C27" s="18" t="n">
        <v>2</v>
      </c>
      <c r="D27" s="18" t="n">
        <v>3</v>
      </c>
      <c r="E27" s="18" t="n">
        <v>2</v>
      </c>
      <c r="F27" s="18" t="n">
        <v>1</v>
      </c>
      <c r="G27" s="18" t="n">
        <v>2</v>
      </c>
    </row>
    <row r="28" outlineLevel="1" ht="18" customHeight="1" s="24">
      <c r="A28" s="12" t="n"/>
      <c r="B28" s="1" t="n"/>
      <c r="C28" s="20" t="n"/>
      <c r="D28" s="20" t="n"/>
      <c r="E28" s="20" t="n"/>
      <c r="F28" s="20" t="n"/>
      <c r="G28" s="20" t="n"/>
    </row>
    <row r="29" outlineLevel="1" ht="18" customHeight="1" s="24">
      <c r="A29" s="11" t="inlineStr">
        <is>
          <t>Módulo Parámetros de Stock Crítico (CU06 / R.10)</t>
        </is>
      </c>
      <c r="B29" s="17" t="n">
        <v>2</v>
      </c>
      <c r="C29" s="18" t="n">
        <v>2</v>
      </c>
      <c r="D29" s="18" t="n">
        <v>3</v>
      </c>
      <c r="E29" s="18" t="n">
        <v>2</v>
      </c>
      <c r="F29" s="18" t="n">
        <v>1</v>
      </c>
      <c r="G29" s="18" t="n">
        <v>2</v>
      </c>
    </row>
    <row r="30" outlineLevel="1" ht="18" customHeight="1" s="24">
      <c r="A30" s="12" t="inlineStr">
        <is>
          <t>Módulo Cupones y Promociones (CU07)</t>
        </is>
      </c>
      <c r="B30" s="17" t="n">
        <v>2</v>
      </c>
      <c r="C30" s="18" t="n">
        <v>2</v>
      </c>
      <c r="D30" s="18" t="n">
        <v>3</v>
      </c>
      <c r="E30" s="18" t="n">
        <v>2</v>
      </c>
      <c r="F30" s="18" t="n">
        <v>1</v>
      </c>
      <c r="G30" s="18" t="n">
        <v>2</v>
      </c>
    </row>
    <row r="31" outlineLevel="1" ht="18" customHeight="1" s="24">
      <c r="A31" s="12" t="inlineStr">
        <is>
          <t>Módulo Estados de Pedido (CU08)</t>
        </is>
      </c>
      <c r="B31" s="17" t="n">
        <v>2</v>
      </c>
      <c r="C31" s="18" t="n">
        <v>2</v>
      </c>
      <c r="D31" s="18" t="n">
        <v>3</v>
      </c>
      <c r="E31" s="18" t="n">
        <v>2</v>
      </c>
      <c r="F31" s="18" t="n">
        <v>1</v>
      </c>
      <c r="G31" s="18" t="n">
        <v>2</v>
      </c>
    </row>
    <row r="32" outlineLevel="1" ht="18" customHeight="1" s="24">
      <c r="A32" s="12" t="n"/>
      <c r="B32" s="1" t="n"/>
      <c r="C32" s="20" t="n"/>
      <c r="D32" s="20" t="n"/>
      <c r="E32" s="20" t="n"/>
      <c r="F32" s="20" t="n"/>
      <c r="G32" s="20" t="n"/>
    </row>
    <row r="33" outlineLevel="1" ht="18" customHeight="1" s="24">
      <c r="A33" s="11" t="inlineStr">
        <is>
          <t>Engine ML: Generación Datos Sintéticos (R.8) y Limpieza Pandas</t>
        </is>
      </c>
      <c r="B33" s="17" t="n">
        <v>2</v>
      </c>
      <c r="C33" s="18" t="n">
        <v>2</v>
      </c>
      <c r="D33" s="18" t="n">
        <v>3</v>
      </c>
      <c r="E33" s="18" t="n">
        <v>2</v>
      </c>
      <c r="F33" s="18" t="n">
        <v>1</v>
      </c>
      <c r="G33" s="18" t="n">
        <v>2</v>
      </c>
    </row>
    <row r="34" outlineLevel="1" ht="18" customHeight="1" s="24">
      <c r="A34" s="12" t="inlineStr">
        <is>
          <t>Engine ML: Modelo Predictivo Demanda Tallas (R.9) - Scikit-learn</t>
        </is>
      </c>
      <c r="B34" s="17" t="n">
        <v>2</v>
      </c>
      <c r="C34" s="18" t="n">
        <v>2</v>
      </c>
      <c r="D34" s="18" t="n">
        <v>3</v>
      </c>
      <c r="E34" s="18" t="n">
        <v>2</v>
      </c>
      <c r="F34" s="18" t="n">
        <v>1</v>
      </c>
      <c r="G34" s="18" t="n">
        <v>2</v>
      </c>
    </row>
    <row r="35" outlineLevel="1" ht="18" customHeight="1" s="24">
      <c r="A35" s="12" t="inlineStr">
        <is>
          <t>Engine ML: Alertas Quiebre y Sugerencia Reabastecimiento (R.10/R.12)</t>
        </is>
      </c>
      <c r="B35" s="17" t="n">
        <v>2</v>
      </c>
      <c r="C35" s="18" t="n">
        <v>2</v>
      </c>
      <c r="D35" s="18" t="n">
        <v>3</v>
      </c>
      <c r="E35" s="18" t="n">
        <v>2</v>
      </c>
      <c r="F35" s="18" t="n">
        <v>1</v>
      </c>
      <c r="G35" s="18" t="n">
        <v>2</v>
      </c>
    </row>
    <row r="36" outlineLevel="1" ht="18" customHeight="1" s="24">
      <c r="A36" s="12" t="n"/>
      <c r="B36" s="1" t="n"/>
      <c r="C36" s="20" t="n"/>
      <c r="D36" s="20" t="n"/>
      <c r="E36" s="20" t="n"/>
      <c r="F36" s="20" t="n"/>
      <c r="G36" s="20" t="n"/>
    </row>
    <row r="37" outlineLevel="1" ht="18" customHeight="1" s="24">
      <c r="A37" s="11" t="inlineStr">
        <is>
          <t>Dashboard Admin HQ: KPIs Ventas e Ingresos (CU12 / R.11)</t>
        </is>
      </c>
      <c r="B37" s="17" t="n">
        <v>2</v>
      </c>
      <c r="C37" s="18" t="n">
        <v>2</v>
      </c>
      <c r="D37" s="18" t="n">
        <v>3</v>
      </c>
      <c r="E37" s="18" t="n">
        <v>2</v>
      </c>
      <c r="F37" s="18" t="n">
        <v>1</v>
      </c>
      <c r="G37" s="18" t="n">
        <v>2</v>
      </c>
    </row>
    <row r="38" outlineLevel="1" ht="18" customHeight="1" s="24">
      <c r="A38" s="12" t="inlineStr">
        <is>
          <t>Dashboard: Gráficos Rotación y Velocidad (Chart.js/Recharts)</t>
        </is>
      </c>
      <c r="B38" s="17" t="n">
        <v>2</v>
      </c>
      <c r="C38" s="18" t="n">
        <v>2</v>
      </c>
      <c r="D38" s="18" t="n">
        <v>2</v>
      </c>
      <c r="E38" s="18" t="n">
        <v>2</v>
      </c>
      <c r="F38" s="18" t="n">
        <v>1</v>
      </c>
      <c r="G38" s="18" t="n">
        <v>2</v>
      </c>
    </row>
    <row r="39" outlineLevel="1" ht="18" customHeight="1" s="24">
      <c r="A39" s="12" t="inlineStr">
        <is>
          <t>Dashboard: Semáforo Alertas Tiempo Real e Integración ML</t>
        </is>
      </c>
      <c r="B39" s="17" t="n">
        <v>2</v>
      </c>
      <c r="C39" s="18" t="n">
        <v>2</v>
      </c>
      <c r="D39" s="18" t="n">
        <v>2</v>
      </c>
      <c r="E39" s="18" t="n">
        <v>2</v>
      </c>
      <c r="F39" s="18" t="n">
        <v>1</v>
      </c>
      <c r="G39" s="18" t="n">
        <v>2</v>
      </c>
    </row>
    <row r="40" outlineLevel="1" ht="18" customHeight="1" s="24">
      <c r="A40" s="12" t="n"/>
      <c r="B40" s="1" t="n"/>
      <c r="C40" s="20" t="n"/>
      <c r="D40" s="20" t="n"/>
      <c r="E40" s="20" t="n"/>
      <c r="F40" s="20" t="n"/>
      <c r="G40" s="20" t="n"/>
    </row>
    <row r="41" outlineLevel="1" ht="18" customHeight="1" s="24">
      <c r="A41" s="11" t="inlineStr">
        <is>
          <t>Módulo Reportes Gerenciales (Filtros Avanzados)</t>
        </is>
      </c>
      <c r="B41" s="17" t="n">
        <v>2</v>
      </c>
      <c r="C41" s="18" t="n">
        <v>1</v>
      </c>
      <c r="D41" s="18" t="n">
        <v>2</v>
      </c>
      <c r="E41" s="18" t="n">
        <v>2</v>
      </c>
      <c r="F41" s="18" t="n">
        <v>1</v>
      </c>
      <c r="G41" s="18" t="n">
        <v>1</v>
      </c>
    </row>
    <row r="42" outlineLevel="1" ht="18" customHeight="1" s="24">
      <c r="A42" s="12" t="inlineStr">
        <is>
          <t>Reporte Consolidado Ventas e Ingresos PDF/XLS (CU13 / RF07)</t>
        </is>
      </c>
      <c r="B42" s="17" t="n">
        <v>2</v>
      </c>
      <c r="C42" s="18" t="n">
        <v>1</v>
      </c>
      <c r="D42" s="18" t="n">
        <v>2</v>
      </c>
      <c r="E42" s="18" t="n">
        <v>2</v>
      </c>
      <c r="F42" s="18" t="n">
        <v>1</v>
      </c>
      <c r="G42" s="18" t="n">
        <v>1</v>
      </c>
    </row>
    <row r="43" outlineLevel="1" ht="18" customHeight="1" s="24">
      <c r="A43" s="12" t="inlineStr">
        <is>
          <t>Reporte Predictivo Stock y Reposición PDF/XLS (CU14 / RF07)</t>
        </is>
      </c>
      <c r="B43" s="17" t="n">
        <v>2</v>
      </c>
      <c r="C43" s="18" t="n">
        <v>1</v>
      </c>
      <c r="D43" s="18" t="n">
        <v>2</v>
      </c>
      <c r="E43" s="18" t="n">
        <v>2</v>
      </c>
      <c r="F43" s="18" t="n">
        <v>1</v>
      </c>
      <c r="G43" s="18" t="n">
        <v>1</v>
      </c>
    </row>
    <row r="44" outlineLevel="1" ht="18" customHeight="1" s="24">
      <c r="A44" s="12" t="inlineStr">
        <is>
          <t>Exportación XLS/ PDF: ExcelJS + pdfmake + Validación Filtros</t>
        </is>
      </c>
      <c r="B44" s="17" t="n">
        <v>2</v>
      </c>
      <c r="C44" s="18" t="n">
        <v>1</v>
      </c>
      <c r="D44" s="18" t="n">
        <v>2</v>
      </c>
      <c r="E44" s="18" t="n">
        <v>2</v>
      </c>
      <c r="F44" s="18" t="n">
        <v>1</v>
      </c>
      <c r="G44" s="18" t="n">
        <v>1</v>
      </c>
    </row>
    <row r="45" outlineLevel="1" ht="18" customHeight="1" s="24">
      <c r="A45" s="12" t="n"/>
      <c r="B45" s="1" t="n"/>
      <c r="C45" s="20" t="n"/>
      <c r="D45" s="20" t="n"/>
      <c r="E45" s="20" t="n"/>
      <c r="F45" s="20" t="n"/>
      <c r="G45" s="20" t="n"/>
    </row>
    <row r="46" outlineLevel="1" ht="18" customHeight="1" s="24">
      <c r="A46" s="12" t="n"/>
      <c r="B46" s="1" t="n"/>
      <c r="C46" s="20" t="n"/>
      <c r="D46" s="20" t="n"/>
      <c r="E46" s="20" t="n"/>
      <c r="F46" s="20" t="n"/>
      <c r="G46" s="20" t="n"/>
    </row>
    <row r="47" ht="28.5" customHeight="1" s="24">
      <c r="A47" s="2" t="inlineStr">
        <is>
          <t>Fase de Pruebas y QA</t>
        </is>
      </c>
      <c r="B47" s="2" t="n"/>
      <c r="C47" s="6" t="inlineStr">
        <is>
          <t>Scrum Master / Backend</t>
        </is>
      </c>
      <c r="D47" s="6" t="inlineStr">
        <is>
          <t>Full Stack Dev / Data Eng.</t>
        </is>
      </c>
      <c r="E47" s="6" t="inlineStr">
        <is>
          <t>Lead DBA / DevOps</t>
        </is>
      </c>
      <c r="F47" s="6" t="inlineStr">
        <is>
          <t>QA Lead / Dashboard</t>
        </is>
      </c>
      <c r="G47" s="6" t="inlineStr">
        <is>
          <t>Data Engineer / ML</t>
        </is>
      </c>
    </row>
    <row r="48">
      <c r="A48" s="16" t="inlineStr">
        <is>
          <t>Implementación ambiente de pruebas (Jest/PyTest/JMeter)</t>
        </is>
      </c>
      <c r="B48" s="17" t="n">
        <v>4</v>
      </c>
      <c r="C48" s="17" t="n">
        <v>4</v>
      </c>
      <c r="D48" s="17" t="n">
        <v>5</v>
      </c>
      <c r="E48" s="17" t="n">
        <v>4</v>
      </c>
      <c r="F48" s="17" t="n">
        <v>9</v>
      </c>
      <c r="G48" s="17" t="n">
        <v>4</v>
      </c>
    </row>
    <row r="49" outlineLevel="1" s="24">
      <c r="A49" s="16" t="inlineStr">
        <is>
          <t>Pruebas Funcionales e Integración (API REST + Trigger ACID)</t>
        </is>
      </c>
      <c r="B49" s="17" t="n">
        <v>4</v>
      </c>
      <c r="C49" s="17" t="n">
        <v>3</v>
      </c>
      <c r="D49" s="17" t="n">
        <v>5</v>
      </c>
      <c r="E49" s="17" t="n">
        <v>3</v>
      </c>
      <c r="F49" s="17" t="n">
        <v>8</v>
      </c>
      <c r="G49" s="17" t="n">
        <v>3</v>
      </c>
    </row>
    <row r="50" outlineLevel="1" s="24">
      <c r="A50" s="16" t="inlineStr">
        <is>
          <t>Pruebas con Usuarios y Carga (Checkout concurrente)</t>
        </is>
      </c>
      <c r="B50" s="17" t="n">
        <v>4</v>
      </c>
      <c r="C50" s="17" t="n">
        <v>3</v>
      </c>
      <c r="D50" s="17" t="n">
        <v>5</v>
      </c>
      <c r="E50" s="17" t="n">
        <v>3</v>
      </c>
      <c r="F50" s="17" t="n">
        <v>8</v>
      </c>
      <c r="G50" s="17" t="n">
        <v>3</v>
      </c>
    </row>
    <row r="51" outlineLevel="1" s="24">
      <c r="A51" s="1" t="n"/>
      <c r="B51" s="1" t="n"/>
      <c r="C51" s="1" t="n"/>
      <c r="D51" s="1" t="n"/>
      <c r="E51" s="1" t="n"/>
      <c r="F51" s="1" t="n"/>
      <c r="G51" s="1" t="n"/>
    </row>
    <row r="52" outlineLevel="1" ht="28.5" customHeight="1" s="24">
      <c r="A52" s="2" t="inlineStr">
        <is>
          <t>Fase de implementación y cierre</t>
        </is>
      </c>
      <c r="B52" s="2" t="n"/>
      <c r="C52" s="6" t="inlineStr">
        <is>
          <t>Scrum Master / Backend</t>
        </is>
      </c>
      <c r="D52" s="6" t="inlineStr">
        <is>
          <t>Full Stack Dev / Data Eng.</t>
        </is>
      </c>
      <c r="E52" s="6" t="inlineStr">
        <is>
          <t>Lead DBA / DevOps</t>
        </is>
      </c>
      <c r="F52" s="6" t="inlineStr">
        <is>
          <t>QA Lead / Dashboard</t>
        </is>
      </c>
      <c r="G52" s="6" t="inlineStr">
        <is>
          <t>Data Engineer / ML</t>
        </is>
      </c>
    </row>
    <row r="53">
      <c r="A53" s="16" t="inlineStr">
        <is>
          <t>Migración del sistema a producción (Render + Supabase)</t>
        </is>
      </c>
      <c r="B53" s="17" t="n">
        <v>3</v>
      </c>
      <c r="C53" s="17" t="n">
        <v>3</v>
      </c>
      <c r="D53" s="17" t="n">
        <v>3</v>
      </c>
      <c r="E53" s="17" t="n">
        <v>3</v>
      </c>
      <c r="F53" s="17" t="n">
        <v>3</v>
      </c>
      <c r="G53" s="17" t="n">
        <v>2</v>
      </c>
    </row>
    <row r="54" outlineLevel="1" s="24">
      <c r="A54" s="16" t="inlineStr">
        <is>
          <t>Capacitaciones</t>
        </is>
      </c>
      <c r="B54" s="17" t="n">
        <v>3</v>
      </c>
      <c r="C54" s="17" t="n">
        <v>3</v>
      </c>
      <c r="D54" s="17" t="n">
        <v>3</v>
      </c>
      <c r="E54" s="17" t="n">
        <v>3</v>
      </c>
      <c r="F54" s="17" t="n">
        <v>3</v>
      </c>
      <c r="G54" s="17" t="n">
        <v>2</v>
      </c>
    </row>
    <row r="55" outlineLevel="1" s="24">
      <c r="A55" s="16" t="inlineStr">
        <is>
          <t>Manuales Usuario</t>
        </is>
      </c>
      <c r="B55" s="17" t="n">
        <v>2</v>
      </c>
      <c r="C55" s="17" t="n">
        <v>2</v>
      </c>
      <c r="D55" s="17" t="n">
        <v>2</v>
      </c>
      <c r="E55" s="17" t="n">
        <v>3</v>
      </c>
      <c r="F55" s="17" t="n">
        <v>2</v>
      </c>
      <c r="G55" s="17" t="n">
        <v>2</v>
      </c>
    </row>
    <row r="56" outlineLevel="1" s="24">
      <c r="A56" s="16" t="inlineStr">
        <is>
          <t>Acta cierre de proyecto</t>
        </is>
      </c>
      <c r="B56" s="17" t="n">
        <v>2</v>
      </c>
      <c r="C56" s="17" t="n">
        <v>2</v>
      </c>
      <c r="D56" s="17" t="n">
        <v>2</v>
      </c>
      <c r="E56" s="17" t="n">
        <v>3</v>
      </c>
      <c r="F56" s="17" t="n">
        <v>2</v>
      </c>
      <c r="G56" s="17" t="n">
        <v>2</v>
      </c>
    </row>
    <row r="57" outlineLevel="1" s="24">
      <c r="A57" s="1" t="n"/>
      <c r="B57" s="1" t="n"/>
      <c r="C57" s="1" t="n"/>
      <c r="D57" s="1" t="n"/>
      <c r="E57" s="1" t="n"/>
      <c r="F57" s="1" t="n"/>
      <c r="G57" s="1" t="n"/>
    </row>
    <row r="58">
      <c r="B58">
        <f>SUM(B6:B57)</f>
        <v/>
      </c>
    </row>
  </sheetData>
  <mergeCells count="3">
    <mergeCell ref="C4:G4"/>
    <mergeCell ref="I4:J4"/>
    <mergeCell ref="A2:D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44"/>
  <sheetViews>
    <sheetView tabSelected="1" topLeftCell="A14" zoomScale="90" zoomScaleNormal="90" workbookViewId="0">
      <selection activeCell="K13" sqref="K13"/>
    </sheetView>
  </sheetViews>
  <sheetFormatPr baseColWidth="10" defaultRowHeight="15"/>
  <cols>
    <col width="6.42578125" customWidth="1" style="24" min="1" max="1"/>
    <col width="21" customWidth="1" style="24" min="2" max="2"/>
    <col width="40.42578125" customWidth="1" style="24" min="3" max="3"/>
    <col width="10.7109375" customWidth="1" style="24" min="4" max="4"/>
    <col width="7.42578125" customWidth="1" style="24" min="5" max="5"/>
    <col width="23.7109375" customWidth="1" style="24" min="6" max="6"/>
    <col width="4.85546875" customWidth="1" style="24" min="7" max="7"/>
    <col width="23.42578125" customWidth="1" style="24" min="8" max="8"/>
    <col width="31.140625" customWidth="1" style="24" min="9" max="9"/>
    <col width="16" customWidth="1" style="24" min="10" max="10"/>
    <col width="15.28515625" customWidth="1" style="24" min="11" max="11"/>
  </cols>
  <sheetData>
    <row r="2" ht="28.5" customHeight="1" s="24">
      <c r="A2" s="5" t="inlineStr">
        <is>
          <t>SIGLA</t>
        </is>
      </c>
      <c r="B2" s="5" t="inlineStr">
        <is>
          <t>ROL</t>
        </is>
      </c>
      <c r="C2" s="5" t="inlineStr">
        <is>
          <t>NOMBRE</t>
        </is>
      </c>
      <c r="D2" s="6" t="inlineStr">
        <is>
          <t>VALOR HORA HH</t>
        </is>
      </c>
      <c r="E2" s="5" t="inlineStr">
        <is>
          <t>HORAS</t>
        </is>
      </c>
      <c r="F2" s="5" t="inlineStr">
        <is>
          <t>FASE PLANIFICACION</t>
        </is>
      </c>
      <c r="H2" s="25" t="inlineStr">
        <is>
          <t>COSTO POR HORA</t>
        </is>
      </c>
      <c r="I2" s="26" t="n"/>
      <c r="J2" s="26" t="n"/>
      <c r="K2" s="26" t="n"/>
    </row>
    <row r="3">
      <c r="A3" s="1" t="inlineStr">
        <is>
          <t>SM</t>
        </is>
      </c>
      <c r="B3" s="1" t="inlineStr">
        <is>
          <t>Scrum Master / Backend Developer</t>
        </is>
      </c>
      <c r="C3" s="1" t="inlineStr">
        <is>
          <t>Luis Alcaide</t>
        </is>
      </c>
      <c r="D3" s="19" t="n">
        <v>5000</v>
      </c>
      <c r="E3" s="17" t="n">
        <v>15</v>
      </c>
      <c r="F3" s="19">
        <f>D3*E3</f>
        <v/>
      </c>
      <c r="H3" s="5" t="inlineStr">
        <is>
          <t>ROL</t>
        </is>
      </c>
      <c r="I3" s="5" t="inlineStr">
        <is>
          <t>NOMBRE</t>
        </is>
      </c>
      <c r="J3" s="5" t="inlineStr">
        <is>
          <t>COSTO x HORA</t>
        </is>
      </c>
      <c r="K3" s="5" t="inlineStr">
        <is>
          <t>Sueldo mes</t>
        </is>
      </c>
    </row>
    <row r="4">
      <c r="A4" s="1" t="inlineStr">
        <is>
          <t>FS/DE</t>
        </is>
      </c>
      <c r="B4" s="1" t="inlineStr">
        <is>
          <t>Full Stack Developer / Data Engineer</t>
        </is>
      </c>
      <c r="C4" s="9" t="inlineStr">
        <is>
          <t>Horacio Vergara</t>
        </is>
      </c>
      <c r="D4" s="19" t="n">
        <v>4000</v>
      </c>
      <c r="E4" s="17" t="n">
        <v>10</v>
      </c>
      <c r="F4" s="19">
        <f>D4*E4</f>
        <v/>
      </c>
      <c r="H4" s="1" t="inlineStr">
        <is>
          <t>Scrum Master / Backend Developer</t>
        </is>
      </c>
      <c r="I4" s="1" t="n"/>
      <c r="J4" s="1" t="n"/>
      <c r="K4" s="1" t="n"/>
    </row>
    <row r="5">
      <c r="A5" s="1" t="inlineStr">
        <is>
          <t>DBA</t>
        </is>
      </c>
      <c r="B5" s="1" t="inlineStr">
        <is>
          <t>Lead DBA / DevOps Engineer</t>
        </is>
      </c>
      <c r="C5" s="1" t="inlineStr">
        <is>
          <t>Josías González</t>
        </is>
      </c>
      <c r="D5" s="19" t="n">
        <v>4500</v>
      </c>
      <c r="E5" s="17" t="n">
        <v>8</v>
      </c>
      <c r="F5" s="19">
        <f>D5*E5</f>
        <v/>
      </c>
      <c r="H5" s="29" t="inlineStr">
        <is>
          <t>Full Stack Developer / Data Engineer</t>
        </is>
      </c>
      <c r="I5" s="22" t="n"/>
      <c r="J5" s="1" t="n"/>
      <c r="K5" s="1" t="n"/>
    </row>
    <row r="6">
      <c r="A6" s="1" t="inlineStr">
        <is>
          <t>QA</t>
        </is>
      </c>
      <c r="B6" s="1" t="inlineStr">
        <is>
          <t>Frontend Dev (Dashboard) / QA Lead</t>
        </is>
      </c>
      <c r="C6" s="1" t="inlineStr">
        <is>
          <t>Israel González</t>
        </is>
      </c>
      <c r="D6" s="19" t="n">
        <v>3800</v>
      </c>
      <c r="E6" s="17" t="n">
        <v>12</v>
      </c>
      <c r="F6" s="19">
        <f>D6*E6</f>
        <v/>
      </c>
      <c r="H6" s="1" t="inlineStr">
        <is>
          <t>Lead DBA / DevOps Engineer</t>
        </is>
      </c>
      <c r="I6" s="1" t="n"/>
      <c r="J6" s="1" t="n"/>
      <c r="K6" s="1" t="n"/>
    </row>
    <row r="7">
      <c r="A7" s="1" t="inlineStr">
        <is>
          <t>ML</t>
        </is>
      </c>
      <c r="B7" s="1" t="inlineStr">
        <is>
          <t>Data Engineer / ML Developer</t>
        </is>
      </c>
      <c r="C7" s="1" t="inlineStr">
        <is>
          <t>Bastián Quilodrán</t>
        </is>
      </c>
      <c r="D7" s="19" t="n">
        <v>3500</v>
      </c>
      <c r="E7" s="17" t="n">
        <v>15</v>
      </c>
      <c r="F7" s="19">
        <f>D7*E7</f>
        <v/>
      </c>
      <c r="H7" s="1" t="inlineStr">
        <is>
          <t>Frontend Dev (Dashboard) / QA Lead</t>
        </is>
      </c>
      <c r="I7" s="1" t="n"/>
      <c r="J7" s="1" t="n"/>
      <c r="K7" s="1" t="n"/>
    </row>
    <row r="8">
      <c r="A8" s="1" t="n"/>
      <c r="B8" s="20" t="inlineStr">
        <is>
          <t>TOTAL FASE PLANIFICACION</t>
        </is>
      </c>
      <c r="C8" s="21" t="n"/>
      <c r="D8" s="21" t="n"/>
      <c r="E8" s="22" t="n"/>
      <c r="F8" s="19">
        <f>SUM(F3:F7)</f>
        <v/>
      </c>
      <c r="H8" s="1" t="inlineStr">
        <is>
          <t>Data Engineer / ML Developer</t>
        </is>
      </c>
      <c r="I8" s="1" t="n"/>
      <c r="J8" s="1" t="n"/>
      <c r="K8" s="1" t="n"/>
    </row>
    <row r="11" ht="28.5" customHeight="1" s="24">
      <c r="A11" s="5" t="inlineStr">
        <is>
          <t>SIGLA</t>
        </is>
      </c>
      <c r="B11" s="5" t="inlineStr">
        <is>
          <t>ROL</t>
        </is>
      </c>
      <c r="C11" s="5" t="inlineStr">
        <is>
          <t>NOMBRE</t>
        </is>
      </c>
      <c r="D11" s="6" t="inlineStr">
        <is>
          <t xml:space="preserve">VALOR HORA HH </t>
        </is>
      </c>
      <c r="E11" s="5" t="inlineStr">
        <is>
          <t>HORAS</t>
        </is>
      </c>
      <c r="F11" s="5" t="inlineStr">
        <is>
          <t>FASE DISEÑO</t>
        </is>
      </c>
      <c r="H11" s="25" t="inlineStr">
        <is>
          <t>COSTO HH POR ROL</t>
        </is>
      </c>
      <c r="I11" s="26" t="n"/>
    </row>
    <row r="12">
      <c r="A12" s="1" t="inlineStr">
        <is>
          <t>SM</t>
        </is>
      </c>
      <c r="B12" s="1" t="inlineStr">
        <is>
          <t>Scrum Master / Backend Developer</t>
        </is>
      </c>
      <c r="C12" s="1" t="inlineStr">
        <is>
          <t>Luis Alcaide</t>
        </is>
      </c>
      <c r="D12" s="19" t="n">
        <v>5000</v>
      </c>
      <c r="E12" s="17" t="n">
        <v>15</v>
      </c>
      <c r="F12" s="19">
        <f>D12*E12</f>
        <v/>
      </c>
      <c r="H12" s="1" t="inlineStr">
        <is>
          <t>Scrum Master / Backend Developer</t>
        </is>
      </c>
      <c r="I12" s="30">
        <f>F3+F12+F21+F30+F39</f>
        <v/>
      </c>
    </row>
    <row r="13">
      <c r="A13" s="1" t="inlineStr">
        <is>
          <t>FS/DE</t>
        </is>
      </c>
      <c r="B13" s="1" t="inlineStr">
        <is>
          <t>Full Stack Developer / Data Engineer</t>
        </is>
      </c>
      <c r="C13" s="9" t="inlineStr">
        <is>
          <t>Horacio Vergara</t>
        </is>
      </c>
      <c r="D13" s="19" t="n">
        <v>4000</v>
      </c>
      <c r="E13" s="17" t="n">
        <v>20</v>
      </c>
      <c r="F13" s="19">
        <f>D13*E13</f>
        <v/>
      </c>
      <c r="H13" s="1" t="inlineStr">
        <is>
          <t>Full Stack Developer / Data Engineer</t>
        </is>
      </c>
      <c r="I13" s="30">
        <f>F4+F13+F22+F31+F40</f>
        <v/>
      </c>
    </row>
    <row r="14">
      <c r="A14" s="1" t="inlineStr">
        <is>
          <t>DBA</t>
        </is>
      </c>
      <c r="B14" s="1" t="inlineStr">
        <is>
          <t>Lead DBA / DevOps Engineer</t>
        </is>
      </c>
      <c r="C14" s="1" t="inlineStr">
        <is>
          <t>Josías González</t>
        </is>
      </c>
      <c r="D14" s="19" t="n">
        <v>4500</v>
      </c>
      <c r="E14" s="17" t="n">
        <v>20</v>
      </c>
      <c r="F14" s="19">
        <f>D14*E14</f>
        <v/>
      </c>
      <c r="H14" s="1" t="inlineStr">
        <is>
          <t>Lead DBA / DevOps Engineer</t>
        </is>
      </c>
      <c r="I14" s="30">
        <f>F5+F14+F23+F32+F41</f>
        <v/>
      </c>
    </row>
    <row r="15">
      <c r="A15" s="1" t="inlineStr">
        <is>
          <t>QA</t>
        </is>
      </c>
      <c r="B15" s="1" t="inlineStr">
        <is>
          <t>Frontend Dev (Dashboard) / QA Lead</t>
        </is>
      </c>
      <c r="C15" s="1" t="inlineStr">
        <is>
          <t>Israel González</t>
        </is>
      </c>
      <c r="D15" s="19" t="n">
        <v>3800</v>
      </c>
      <c r="E15" s="17" t="n">
        <v>10</v>
      </c>
      <c r="F15" s="19">
        <f>D15*E15</f>
        <v/>
      </c>
      <c r="H15" s="1" t="inlineStr">
        <is>
          <t>Frontend Dev (Dashboard) / QA Lead</t>
        </is>
      </c>
      <c r="I15" s="30">
        <f>F6+F15+F24+F33+F42</f>
        <v/>
      </c>
    </row>
    <row r="16">
      <c r="A16" s="1" t="inlineStr">
        <is>
          <t>ML</t>
        </is>
      </c>
      <c r="B16" s="1" t="inlineStr">
        <is>
          <t>Data Engineer / ML Developer</t>
        </is>
      </c>
      <c r="C16" s="1" t="inlineStr">
        <is>
          <t>Bastián Quilodrán</t>
        </is>
      </c>
      <c r="D16" s="19" t="n">
        <v>3500</v>
      </c>
      <c r="E16" s="17" t="n">
        <v>15</v>
      </c>
      <c r="F16" s="19">
        <f>D16*E16</f>
        <v/>
      </c>
      <c r="H16" s="1" t="inlineStr">
        <is>
          <t>Data Engineer / ML Developer</t>
        </is>
      </c>
      <c r="I16" s="30">
        <f>F7+F16+F25+F34+F43</f>
        <v/>
      </c>
    </row>
    <row r="17" ht="15.75" customHeight="1" s="24">
      <c r="A17" s="1" t="n"/>
      <c r="B17" s="20" t="inlineStr">
        <is>
          <t>TOTAL FASE DISEÑO</t>
        </is>
      </c>
      <c r="C17" s="21" t="n"/>
      <c r="D17" s="21" t="n"/>
      <c r="E17" s="22" t="n"/>
      <c r="F17" s="19">
        <f>SUM(F12:F16)</f>
        <v/>
      </c>
      <c r="H17" s="8" t="inlineStr">
        <is>
          <t>TOTAL HH</t>
        </is>
      </c>
      <c r="I17" s="31">
        <f>SUM(I12:I16)</f>
        <v/>
      </c>
    </row>
    <row r="20" ht="28.5" customHeight="1" s="24">
      <c r="A20" s="5" t="inlineStr">
        <is>
          <t>SIGLA</t>
        </is>
      </c>
      <c r="B20" s="5" t="inlineStr">
        <is>
          <t>ROL</t>
        </is>
      </c>
      <c r="C20" s="5" t="inlineStr">
        <is>
          <t>NOMBRE</t>
        </is>
      </c>
      <c r="D20" s="6" t="inlineStr">
        <is>
          <t xml:space="preserve">VALOR HORA HH </t>
        </is>
      </c>
      <c r="E20" s="5" t="inlineStr">
        <is>
          <t>HORAS</t>
        </is>
      </c>
      <c r="F20" s="5" t="inlineStr">
        <is>
          <t>FASE DESARROLLO</t>
        </is>
      </c>
      <c r="H20" s="25" t="inlineStr">
        <is>
          <t>COSTO POR FASE</t>
        </is>
      </c>
      <c r="I20" s="26" t="n"/>
    </row>
    <row r="21">
      <c r="A21" s="1" t="inlineStr">
        <is>
          <t>SM</t>
        </is>
      </c>
      <c r="B21" s="1" t="inlineStr">
        <is>
          <t>Scrum Master / Backend Developer</t>
        </is>
      </c>
      <c r="C21" s="1" t="inlineStr">
        <is>
          <t>Luis Alcaide</t>
        </is>
      </c>
      <c r="D21" s="19" t="n">
        <v>5000</v>
      </c>
      <c r="E21" s="17" t="n">
        <v>40</v>
      </c>
      <c r="F21" s="19">
        <f>D21*E21</f>
        <v/>
      </c>
      <c r="H21" s="1" t="inlineStr">
        <is>
          <t>Fase de Planificación</t>
        </is>
      </c>
      <c r="I21" s="30">
        <f>F8</f>
        <v/>
      </c>
    </row>
    <row r="22">
      <c r="A22" s="1" t="inlineStr">
        <is>
          <t>FS/DE</t>
        </is>
      </c>
      <c r="B22" s="1" t="inlineStr">
        <is>
          <t>Full Stack Developer / Data Engineer</t>
        </is>
      </c>
      <c r="C22" s="9" t="inlineStr">
        <is>
          <t>Horacio Vergara</t>
        </is>
      </c>
      <c r="D22" s="19" t="n">
        <v>4000</v>
      </c>
      <c r="E22" s="17" t="n">
        <v>60</v>
      </c>
      <c r="F22" s="19">
        <f>D22*E22</f>
        <v/>
      </c>
      <c r="H22" s="1" t="inlineStr">
        <is>
          <t>Fase de Análisis y Diseño</t>
        </is>
      </c>
      <c r="I22" s="30">
        <f>F17</f>
        <v/>
      </c>
    </row>
    <row r="23">
      <c r="A23" s="1" t="inlineStr">
        <is>
          <t>DBA</t>
        </is>
      </c>
      <c r="B23" s="1" t="inlineStr">
        <is>
          <t>Lead DBA / DevOps Engineer</t>
        </is>
      </c>
      <c r="C23" s="1" t="inlineStr">
        <is>
          <t>Josías González</t>
        </is>
      </c>
      <c r="D23" s="19" t="n">
        <v>4500</v>
      </c>
      <c r="E23" s="17" t="n">
        <v>50</v>
      </c>
      <c r="F23" s="19">
        <f>D23*E23</f>
        <v/>
      </c>
      <c r="H23" s="1" t="inlineStr">
        <is>
          <t>Fase de Desarrollo</t>
        </is>
      </c>
      <c r="I23" s="30">
        <f>F26</f>
        <v/>
      </c>
    </row>
    <row r="24">
      <c r="A24" s="1" t="inlineStr">
        <is>
          <t>QA</t>
        </is>
      </c>
      <c r="B24" s="1" t="inlineStr">
        <is>
          <t>Frontend Dev (Dashboard) / QA Lead</t>
        </is>
      </c>
      <c r="C24" s="1" t="inlineStr">
        <is>
          <t>Israel González</t>
        </is>
      </c>
      <c r="D24" s="19" t="n">
        <v>3800</v>
      </c>
      <c r="E24" s="17" t="n">
        <v>30</v>
      </c>
      <c r="F24" s="19">
        <f>D24*E24</f>
        <v/>
      </c>
      <c r="H24" s="1" t="inlineStr">
        <is>
          <t>Fase de QA</t>
        </is>
      </c>
      <c r="I24" s="30">
        <f>F35</f>
        <v/>
      </c>
    </row>
    <row r="25">
      <c r="A25" s="1" t="inlineStr">
        <is>
          <t>ML</t>
        </is>
      </c>
      <c r="B25" s="1" t="inlineStr">
        <is>
          <t>Data Engineer / ML Developer</t>
        </is>
      </c>
      <c r="C25" s="1" t="inlineStr">
        <is>
          <t>Bastián Quilodrán</t>
        </is>
      </c>
      <c r="D25" s="19" t="n">
        <v>3500</v>
      </c>
      <c r="E25" s="17" t="n">
        <v>40</v>
      </c>
      <c r="F25" s="19">
        <f>D25*E25</f>
        <v/>
      </c>
      <c r="H25" s="1" t="inlineStr">
        <is>
          <t>Fase de Implementación y Cierre</t>
        </is>
      </c>
      <c r="I25" s="30">
        <f>F44</f>
        <v/>
      </c>
    </row>
    <row r="26" ht="15.75" customHeight="1" s="24">
      <c r="A26" s="1" t="n"/>
      <c r="B26" s="20" t="inlineStr">
        <is>
          <t>TOTAL FASE DESARROLLO</t>
        </is>
      </c>
      <c r="C26" s="21" t="n"/>
      <c r="D26" s="21" t="n"/>
      <c r="E26" s="22" t="n"/>
      <c r="F26" s="19">
        <f>SUM(F21:F25)</f>
        <v/>
      </c>
      <c r="H26" s="8" t="inlineStr">
        <is>
          <t>TOTAL HH FASES</t>
        </is>
      </c>
      <c r="I26" s="31">
        <f>SUM(I21:I25)</f>
        <v/>
      </c>
    </row>
    <row r="29" ht="28.5" customHeight="1" s="24">
      <c r="A29" s="5" t="inlineStr">
        <is>
          <t>SIGLA</t>
        </is>
      </c>
      <c r="B29" s="5" t="inlineStr">
        <is>
          <t>ROL</t>
        </is>
      </c>
      <c r="C29" s="5" t="inlineStr">
        <is>
          <t>NOMBRE</t>
        </is>
      </c>
      <c r="D29" s="6" t="inlineStr">
        <is>
          <t xml:space="preserve">VALOR HORA HH </t>
        </is>
      </c>
      <c r="E29" s="5" t="inlineStr">
        <is>
          <t>HORAS</t>
        </is>
      </c>
      <c r="F29" s="5" t="inlineStr">
        <is>
          <t>FASE PRUEBAS QA</t>
        </is>
      </c>
      <c r="H29" s="5" t="inlineStr">
        <is>
          <t xml:space="preserve">Margen </t>
        </is>
      </c>
      <c r="I29" s="13" t="n">
        <v>0.6</v>
      </c>
    </row>
    <row r="30">
      <c r="A30" s="1" t="inlineStr">
        <is>
          <t>SM</t>
        </is>
      </c>
      <c r="B30" s="1" t="inlineStr">
        <is>
          <t>Scrum Master / Backend Developer</t>
        </is>
      </c>
      <c r="C30" s="1" t="inlineStr">
        <is>
          <t>Luis Alcaide</t>
        </is>
      </c>
      <c r="D30" s="19" t="n">
        <v>5000</v>
      </c>
      <c r="E30" s="17" t="n">
        <v>10</v>
      </c>
      <c r="F30" s="19">
        <f>D30*E30</f>
        <v/>
      </c>
      <c r="H30" s="1" t="inlineStr">
        <is>
          <t>UTILIDAD</t>
        </is>
      </c>
      <c r="I30" s="30">
        <f>I26*I29</f>
        <v/>
      </c>
    </row>
    <row r="31">
      <c r="A31" s="1" t="inlineStr">
        <is>
          <t>FS/DE</t>
        </is>
      </c>
      <c r="B31" s="1" t="inlineStr">
        <is>
          <t>Full Stack Developer / Data Engineer</t>
        </is>
      </c>
      <c r="C31" s="9" t="inlineStr">
        <is>
          <t>Horacio Vergara</t>
        </is>
      </c>
      <c r="D31" s="19" t="n">
        <v>4000</v>
      </c>
      <c r="E31" s="17" t="n">
        <v>15</v>
      </c>
      <c r="F31" s="19">
        <f>D31*E31</f>
        <v/>
      </c>
      <c r="H31" s="1" t="inlineStr">
        <is>
          <t>PRECIO FINAL</t>
        </is>
      </c>
      <c r="I31" s="30">
        <f>I26+I30</f>
        <v/>
      </c>
    </row>
    <row r="32">
      <c r="A32" s="1" t="inlineStr">
        <is>
          <t>DBA</t>
        </is>
      </c>
      <c r="B32" s="1" t="inlineStr">
        <is>
          <t>Lead DBA / DevOps Engineer</t>
        </is>
      </c>
      <c r="C32" s="1" t="inlineStr">
        <is>
          <t>Josías González</t>
        </is>
      </c>
      <c r="D32" s="19" t="n">
        <v>4500</v>
      </c>
      <c r="E32" s="17" t="n">
        <v>10</v>
      </c>
      <c r="F32" s="19">
        <f>D32*E32</f>
        <v/>
      </c>
    </row>
    <row r="33">
      <c r="A33" s="1" t="inlineStr">
        <is>
          <t>QA</t>
        </is>
      </c>
      <c r="B33" s="1" t="inlineStr">
        <is>
          <t>Frontend Dev (Dashboard) / QA Lead</t>
        </is>
      </c>
      <c r="C33" s="1" t="inlineStr">
        <is>
          <t>Israel González</t>
        </is>
      </c>
      <c r="D33" s="19" t="n">
        <v>3800</v>
      </c>
      <c r="E33" s="17" t="n">
        <v>25</v>
      </c>
      <c r="F33" s="19">
        <f>D33*E33</f>
        <v/>
      </c>
    </row>
    <row r="34">
      <c r="A34" s="1" t="inlineStr">
        <is>
          <t>ML</t>
        </is>
      </c>
      <c r="B34" s="1" t="inlineStr">
        <is>
          <t>Data Engineer / ML Developer</t>
        </is>
      </c>
      <c r="C34" s="1" t="inlineStr">
        <is>
          <t>Bastián Quilodrán</t>
        </is>
      </c>
      <c r="D34" s="19" t="n">
        <v>3500</v>
      </c>
      <c r="E34" s="17" t="n">
        <v>10</v>
      </c>
      <c r="F34" s="19">
        <f>D34*E34</f>
        <v/>
      </c>
    </row>
    <row r="35">
      <c r="A35" s="1" t="n"/>
      <c r="B35" s="20" t="inlineStr">
        <is>
          <t>TOTAL FASE PRUEBAS QA</t>
        </is>
      </c>
      <c r="C35" s="21" t="n"/>
      <c r="D35" s="21" t="n"/>
      <c r="E35" s="22" t="n"/>
      <c r="F35" s="19">
        <f>SUM(F30:F34)</f>
        <v/>
      </c>
    </row>
    <row r="38" ht="28.5" customHeight="1" s="24">
      <c r="A38" s="5" t="inlineStr">
        <is>
          <t>SIGLA</t>
        </is>
      </c>
      <c r="B38" s="5" t="inlineStr">
        <is>
          <t>ROL</t>
        </is>
      </c>
      <c r="C38" s="5" t="inlineStr">
        <is>
          <t>NOMBRE</t>
        </is>
      </c>
      <c r="D38" s="6" t="inlineStr">
        <is>
          <t xml:space="preserve">VALOR HORA HH </t>
        </is>
      </c>
      <c r="E38" s="5" t="inlineStr">
        <is>
          <t>HORAS</t>
        </is>
      </c>
      <c r="F38" s="6" t="inlineStr">
        <is>
          <t>FASE IMPLEMENTACION Y CIERRE</t>
        </is>
      </c>
    </row>
    <row r="39">
      <c r="A39" s="1" t="inlineStr">
        <is>
          <t>SM</t>
        </is>
      </c>
      <c r="B39" s="1" t="inlineStr">
        <is>
          <t>Scrum Master / Backend Developer</t>
        </is>
      </c>
      <c r="C39" s="1" t="inlineStr">
        <is>
          <t>Luis Alcaide</t>
        </is>
      </c>
      <c r="D39" s="19" t="n">
        <v>5000</v>
      </c>
      <c r="E39" s="17" t="n">
        <v>10</v>
      </c>
      <c r="F39" s="19">
        <f>D39*E39</f>
        <v/>
      </c>
    </row>
    <row r="40">
      <c r="A40" s="1" t="inlineStr">
        <is>
          <t>FS/DE</t>
        </is>
      </c>
      <c r="B40" s="1" t="inlineStr">
        <is>
          <t>Full Stack Developer / Data Engineer</t>
        </is>
      </c>
      <c r="C40" s="9" t="inlineStr">
        <is>
          <t>Horacio Vergara</t>
        </is>
      </c>
      <c r="D40" s="19" t="n">
        <v>4000</v>
      </c>
      <c r="E40" s="17" t="n">
        <v>10</v>
      </c>
      <c r="F40" s="19">
        <f>D40*E40</f>
        <v/>
      </c>
    </row>
    <row r="41">
      <c r="A41" s="1" t="inlineStr">
        <is>
          <t>DBA</t>
        </is>
      </c>
      <c r="B41" s="1" t="inlineStr">
        <is>
          <t>Lead DBA / DevOps Engineer</t>
        </is>
      </c>
      <c r="C41" s="1" t="inlineStr">
        <is>
          <t>Josías González</t>
        </is>
      </c>
      <c r="D41" s="19" t="n">
        <v>4500</v>
      </c>
      <c r="E41" s="17" t="n">
        <v>12</v>
      </c>
      <c r="F41" s="19">
        <f>D41*E41</f>
        <v/>
      </c>
    </row>
    <row r="42">
      <c r="A42" s="1" t="inlineStr">
        <is>
          <t>QA</t>
        </is>
      </c>
      <c r="B42" s="1" t="inlineStr">
        <is>
          <t>Frontend Dev (Dashboard) / QA Lead</t>
        </is>
      </c>
      <c r="C42" s="1" t="inlineStr">
        <is>
          <t>Israel González</t>
        </is>
      </c>
      <c r="D42" s="19" t="n">
        <v>3800</v>
      </c>
      <c r="E42" s="17" t="n">
        <v>10</v>
      </c>
      <c r="F42" s="19">
        <f>D42*E42</f>
        <v/>
      </c>
    </row>
    <row r="43">
      <c r="A43" s="1" t="inlineStr">
        <is>
          <t>ML</t>
        </is>
      </c>
      <c r="B43" s="1" t="inlineStr">
        <is>
          <t>Data Engineer / ML Developer</t>
        </is>
      </c>
      <c r="C43" s="1" t="inlineStr">
        <is>
          <t>Bastián Quilodrán</t>
        </is>
      </c>
      <c r="D43" s="19" t="n">
        <v>3500</v>
      </c>
      <c r="E43" s="17" t="n">
        <v>8</v>
      </c>
      <c r="F43" s="19">
        <f>D43*E43</f>
        <v/>
      </c>
    </row>
    <row r="44">
      <c r="A44" s="1" t="n"/>
      <c r="B44" s="20" t="inlineStr">
        <is>
          <t>TOTAL FASE IMPLEMENTACION</t>
        </is>
      </c>
      <c r="C44" s="21" t="n"/>
      <c r="D44" s="21" t="n"/>
      <c r="E44" s="22" t="n"/>
      <c r="F44" s="19">
        <f>SUM(F39:F43)</f>
        <v/>
      </c>
    </row>
  </sheetData>
  <mergeCells count="9">
    <mergeCell ref="H11:I11"/>
    <mergeCell ref="B26:E26"/>
    <mergeCell ref="B17:E17"/>
    <mergeCell ref="B8:E8"/>
    <mergeCell ref="B35:E35"/>
    <mergeCell ref="H20:I20"/>
    <mergeCell ref="B44:E44"/>
    <mergeCell ref="H2:K2"/>
    <mergeCell ref="H5:I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Gerardo Galan Cruz</dc:creator>
  <dcterms:created xmlns:dcterms="http://purl.org/dc/terms/" xmlns:xsi="http://www.w3.org/2001/XMLSchema-instance" xsi:type="dcterms:W3CDTF">2018-01-25T19:02:19Z</dcterms:created>
  <dcterms:modified xmlns:dcterms="http://purl.org/dc/terms/" xmlns:xsi="http://www.w3.org/2001/XMLSchema-instance" xsi:type="dcterms:W3CDTF">2026-09-01T13:53:01Z</dcterms:modified>
  <cp:lastModifiedBy>Practica PTI</cp:lastModifiedBy>
</cp:coreProperties>
</file>